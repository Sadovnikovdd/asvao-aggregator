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Sheet" sheetId="1" state="visible" r:id="rId1"/>
    <sheet xmlns:r="http://schemas.openxmlformats.org/officeDocument/2006/relationships" name="Лист1" sheetId="2" state="visible" r:id="rId2"/>
    <sheet xmlns:r="http://schemas.openxmlformats.org/officeDocument/2006/relationships" name="TDSheet_2" sheetId="3" state="visible" r:id="rId3"/>
  </sheets>
  <definedNames>
    <definedName name="_xlnm._FilterDatabase" localSheetId="0" hidden="1">'TDSheet'!$C$7:$K$7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1C</author>
  </authors>
  <commentList>
    <comment ref="F8" authorId="0" shapeId="0">
      <text>
        <t>В ячейке примечание, не данные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" customWidth="1" min="1" max="1"/>
    <col hidden="1" width="13" customWidth="1" min="2" max="2"/>
    <col width="22" customWidth="1" min="4" max="4"/>
    <col width="60" customWidth="1" min="6" max="6"/>
  </cols>
  <sheetData>
    <row r="1">
      <c r="A1" t="inlineStr">
        <is>
          <t>Прайс-лист</t>
        </is>
      </c>
      <c r="B1" t="inlineStr">
        <is>
          <t>МегаИнструмент</t>
        </is>
      </c>
    </row>
    <row r="2">
      <c r="C2" t="inlineStr">
        <is>
          <t>Выгрузка № 17-44 от 11.09.2026   Организация: ИП Сидоров</t>
        </is>
      </c>
    </row>
    <row r="3">
      <c r="C3" t="inlineStr">
        <is>
          <t>rub</t>
        </is>
      </c>
    </row>
    <row r="4">
      <c r="C4" s="1" t="inlineStr">
        <is>
          <t>Производитель</t>
        </is>
      </c>
      <c r="D4" s="1" t="inlineStr">
        <is>
          <t>Артикул</t>
        </is>
      </c>
      <c r="E4" s="1" t="inlineStr">
        <is>
          <t>Штрих-код</t>
        </is>
      </c>
      <c r="F4" s="1" t="inlineStr">
        <is>
          <t>Номенклатура</t>
        </is>
      </c>
      <c r="G4" s="1" t="inlineStr">
        <is>
          <t>Количество</t>
        </is>
      </c>
      <c r="H4" s="1" t="n"/>
      <c r="I4" s="1" t="inlineStr">
        <is>
          <t>Цена</t>
        </is>
      </c>
      <c r="J4" s="1" t="n"/>
      <c r="K4" s="1" t="inlineStr">
        <is>
          <t>Кратность / фасовка</t>
        </is>
      </c>
    </row>
    <row r="5">
      <c r="C5" s="1" t="n"/>
      <c r="D5" s="1" t="n"/>
      <c r="E5" s="1" t="n"/>
      <c r="F5" s="1" t="n"/>
      <c r="G5" s="1" t="inlineStr">
        <is>
          <t>свободный</t>
        </is>
      </c>
      <c r="H5" s="1" t="inlineStr">
        <is>
          <t>в резерве</t>
        </is>
      </c>
      <c r="I5" s="1" t="inlineStr">
        <is>
          <t>закуп</t>
        </is>
      </c>
      <c r="J5" s="1" t="inlineStr">
        <is>
          <t>розн</t>
        </is>
      </c>
      <c r="K5" s="1" t="n"/>
    </row>
    <row r="6">
      <c r="C6" s="1" t="n"/>
      <c r="D6" s="1" t="n"/>
      <c r="E6" s="1" t="n"/>
      <c r="F6" s="1" t="n"/>
      <c r="G6" s="1" t="inlineStr">
        <is>
          <t>шт</t>
        </is>
      </c>
      <c r="H6" s="1" t="inlineStr">
        <is>
          <t>шт</t>
        </is>
      </c>
      <c r="I6" s="1" t="inlineStr">
        <is>
          <t>Цена (руб.)</t>
        </is>
      </c>
      <c r="J6" s="1" t="inlineStr">
        <is>
          <t>Цена (руб.)</t>
        </is>
      </c>
      <c r="K6" s="1" t="n"/>
    </row>
    <row r="8">
      <c r="C8" t="inlineStr">
        <is>
          <t>Bosch</t>
        </is>
      </c>
      <c r="D8" t="inlineStr">
        <is>
          <t>1 609 203 243</t>
        </is>
      </c>
      <c r="E8" t="inlineStr">
        <is>
          <t>3165140589411</t>
        </is>
      </c>
      <c r="F8" t="inlineStr">
        <is>
          <t>Щетка угольная GBH 2-26 (комплект 2 шт)</t>
        </is>
      </c>
      <c r="G8" t="n">
        <v>12</v>
      </c>
      <c r="H8" t="n">
        <v>0</v>
      </c>
      <c r="I8" s="2" t="n">
        <v>450</v>
      </c>
      <c r="J8" t="n">
        <v>690</v>
      </c>
      <c r="K8" t="inlineStr">
        <is>
          <t>2</t>
        </is>
      </c>
    </row>
    <row r="9">
      <c r="C9" t="inlineStr">
        <is>
          <t>Bosch</t>
        </is>
      </c>
      <c r="D9" t="inlineStr">
        <is>
          <t>1609203243</t>
        </is>
      </c>
      <c r="E9" t="inlineStr">
        <is>
          <t>3165140589411</t>
        </is>
      </c>
      <c r="F9" t="inlineStr">
        <is>
          <t>Щетка угольная GBH 2-26 — тот же товар, артикул без пробелов</t>
        </is>
      </c>
      <c r="G9" t="n">
        <v>4</v>
      </c>
      <c r="H9" t="n">
        <v>2</v>
      </c>
      <c r="I9" s="2" t="n">
        <v>450</v>
      </c>
      <c r="J9" t="n">
        <v>690</v>
      </c>
      <c r="K9" t="inlineStr">
        <is>
          <t>2</t>
        </is>
      </c>
    </row>
    <row r="10">
      <c r="C10" t="inlineStr">
        <is>
          <t>Makita</t>
        </is>
      </c>
      <c r="D10" t="inlineStr">
        <is>
          <t>CB-419</t>
        </is>
      </c>
      <c r="E10" t="inlineStr">
        <is>
          <t>0088381067780</t>
        </is>
      </c>
      <c r="F10" t="inlineStr">
        <is>
          <t>Щётка 6.5×7.5×13</t>
        </is>
      </c>
      <c r="G10" t="n">
        <v>0</v>
      </c>
      <c r="H10" t="n">
        <v>0</v>
      </c>
      <c r="I10" s="2" t="n">
        <v>180</v>
      </c>
      <c r="J10" t="n">
        <v>270</v>
      </c>
      <c r="K10" t="inlineStr">
        <is>
          <t>1</t>
        </is>
      </c>
    </row>
    <row r="11">
      <c r="D11" t="inlineStr">
        <is>
          <t>000000123</t>
        </is>
      </c>
      <c r="E11" t="n">
        <v>123</v>
      </c>
      <c r="F11" t="inlineStr">
        <is>
          <t>Выключатель 6А с кнопкой блокировки</t>
        </is>
      </c>
      <c r="G11" t="n">
        <v>3</v>
      </c>
      <c r="H11" t="n">
        <v>0</v>
      </c>
      <c r="I11" s="2" t="n">
        <v>95</v>
      </c>
      <c r="J11" t="n">
        <v>150</v>
      </c>
      <c r="K11" t="inlineStr">
        <is>
          <t>1</t>
        </is>
      </c>
    </row>
    <row r="12">
      <c r="C12" t="inlineStr">
        <is>
          <t>Interskol</t>
        </is>
      </c>
      <c r="D12" t="inlineStr">
        <is>
          <t>УШМ-125/1100Э.01.01.00</t>
        </is>
      </c>
      <c r="F12" t="inlineStr">
        <is>
          <t>Якорь УШМ-125/1100Э  (с вентилятором)</t>
        </is>
      </c>
      <c r="G12" t="inlineStr">
        <is>
          <t>под заказ</t>
        </is>
      </c>
      <c r="I12" t="inlineStr">
        <is>
          <t>1 250,00</t>
        </is>
      </c>
      <c r="J12" t="n">
        <v>1900</v>
      </c>
      <c r="K12" t="inlineStr">
        <is>
          <t>1</t>
        </is>
      </c>
    </row>
    <row r="13">
      <c r="C13" t="inlineStr">
        <is>
          <t>Dewalt</t>
        </is>
      </c>
      <c r="D13" t="inlineStr">
        <is>
          <t>N027139</t>
        </is>
      </c>
      <c r="E13" t="inlineStr">
        <is>
          <t>0033531928471</t>
        </is>
      </c>
      <c r="F13" t="inlineStr">
        <is>
          <t xml:space="preserve">   РЕДУКТОР В СБОРЕ DCD771</t>
        </is>
      </c>
      <c r="G13" t="n">
        <v>1</v>
      </c>
      <c r="H13" t="n">
        <v>1</v>
      </c>
      <c r="I13" s="2" t="n">
        <v>3200</v>
      </c>
      <c r="J13" t="n">
        <v>4800</v>
      </c>
      <c r="K13" t="inlineStr">
        <is>
          <t>1</t>
        </is>
      </c>
    </row>
    <row r="14">
      <c r="D14" t="inlineStr">
        <is>
          <t>МИ-0001</t>
        </is>
      </c>
      <c r="E14" t="inlineStr"/>
      <c r="F14" t="inlineStr">
        <is>
          <t>Р</t>
        </is>
      </c>
      <c r="G14" t="n">
        <v>1</v>
      </c>
      <c r="H14" t="n">
        <v>0</v>
      </c>
      <c r="I14" s="2" t="n">
        <v>10</v>
      </c>
      <c r="J14" t="n">
        <v>15</v>
      </c>
      <c r="K14" t="inlineStr">
        <is>
          <t>1</t>
        </is>
      </c>
    </row>
    <row r="15">
      <c r="C15" t="inlineStr">
        <is>
          <t>Makita</t>
        </is>
      </c>
      <c r="D15" t="inlineStr">
        <is>
          <t>HR2450-ARM</t>
        </is>
      </c>
      <c r="E15" t="inlineStr">
        <is>
          <t>0088381000001</t>
        </is>
      </c>
      <c r="F15" t="inlineStr">
        <is>
          <t xml:space="preserve">Якорь HR2450 / armature / 转子  / очень длинное наименование с пробелами в конце     </t>
        </is>
      </c>
      <c r="G15" t="n">
        <v>2</v>
      </c>
      <c r="H15" t="n">
        <v>0</v>
      </c>
      <c r="I15" s="2" t="n">
        <v>2100</v>
      </c>
      <c r="J15" t="n">
        <v>3150</v>
      </c>
      <c r="K15" t="inlineStr">
        <is>
          <t>1</t>
        </is>
      </c>
    </row>
    <row r="16">
      <c r="C16" t="inlineStr">
        <is>
          <t>Bosch</t>
        </is>
      </c>
      <c r="D16" t="inlineStr">
        <is>
          <t>GBH2-26-ST</t>
        </is>
      </c>
      <c r="F16" t="inlineStr">
        <is>
          <t>Статор 220В; 50Гц; для GBH 2-26 DRE; аналог 1 609 201 xxx</t>
        </is>
      </c>
      <c r="G16" t="n">
        <v>1</v>
      </c>
      <c r="H16" t="n">
        <v>0</v>
      </c>
      <c r="I16" s="2" t="n">
        <v>4100</v>
      </c>
      <c r="J16" t="n">
        <v>6150</v>
      </c>
      <c r="K16" t="inlineStr">
        <is>
          <t>1</t>
        </is>
      </c>
    </row>
    <row r="17">
      <c r="C17" t="inlineStr">
        <is>
          <t>NoName</t>
        </is>
      </c>
      <c r="D17" t="inlineStr">
        <is>
          <t>Китай-щ-01</t>
        </is>
      </c>
      <c r="E17" t="inlineStr">
        <is>
          <t>4,80123E+12</t>
        </is>
      </c>
      <c r="F17" t="inlineStr">
        <is>
          <t>Щетка 5x8x11 no name</t>
        </is>
      </c>
      <c r="G17" t="n">
        <v>50</v>
      </c>
      <c r="H17" t="n">
        <v>0</v>
      </c>
      <c r="I17" s="2" t="n">
        <v>25</v>
      </c>
      <c r="J17" t="n">
        <v>40</v>
      </c>
      <c r="K17" t="inlineStr">
        <is>
          <t>10</t>
        </is>
      </c>
    </row>
    <row r="18">
      <c r="C18" t="inlineStr">
        <is>
          <t>Makita</t>
        </is>
      </c>
      <c r="D18" t="inlineStr">
        <is>
          <t>CB-419</t>
        </is>
      </c>
      <c r="E18" t="inlineStr">
        <is>
          <t>0088381067780</t>
        </is>
      </c>
      <c r="F18" t="inlineStr">
        <is>
          <t>Щётка 6.5×7.5×13 фасовка 10 шт</t>
        </is>
      </c>
      <c r="G18" t="n">
        <v>5</v>
      </c>
      <c r="H18" t="n">
        <v>0</v>
      </c>
      <c r="I18" s="2" t="n">
        <v>1600</v>
      </c>
      <c r="J18" t="n">
        <v>2400</v>
      </c>
      <c r="K18" t="inlineStr">
        <is>
          <t>10</t>
        </is>
      </c>
    </row>
    <row r="19">
      <c r="F19" t="inlineStr">
        <is>
          <t>Итого</t>
        </is>
      </c>
      <c r="I19">
        <f>SUM(I8:I18)</f>
        <v/>
      </c>
      <c r="J19">
        <f>SUM(J8:J18)</f>
        <v/>
      </c>
    </row>
    <row r="20">
      <c r="C20" t="inlineStr">
        <is>
          <t>Гарантия 14 дней. Позиции «под заказ» не резервировать. Кратность обязательна.</t>
        </is>
      </c>
    </row>
    <row r="23">
      <c r="C23" s="3" t="inlineStr">
        <is>
          <t>Дополнительно (ещё одна таблица ниже футера)</t>
        </is>
      </c>
    </row>
    <row r="24">
      <c r="C24" s="1" t="inlineStr">
        <is>
          <t>Артикул</t>
        </is>
      </c>
      <c r="D24" s="1" t="inlineStr">
        <is>
          <t>Наименование</t>
        </is>
      </c>
      <c r="E24" s="1" t="inlineStr">
        <is>
          <t>Цена</t>
        </is>
      </c>
    </row>
    <row r="25">
      <c r="C25" t="inlineStr">
        <is>
          <t>АКЦИЯ-1</t>
        </is>
      </c>
      <c r="D25" t="inlineStr">
        <is>
          <t>Набор щёток микс 20 шт</t>
        </is>
      </c>
      <c r="E25" t="n">
        <v>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C7:K7"/>
  <mergeCells count="9">
    <mergeCell ref="D4:D6"/>
    <mergeCell ref="C2:K2"/>
    <mergeCell ref="G4:H4"/>
    <mergeCell ref="I4:J4"/>
    <mergeCell ref="K4:K6"/>
    <mergeCell ref="E4:E6"/>
    <mergeCell ref="C20:K20"/>
    <mergeCell ref="C4:C6"/>
    <mergeCell ref="F4:F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Производитель</t>
        </is>
      </c>
      <c r="B1" t="inlineStr">
        <is>
          <t>Артикул</t>
        </is>
      </c>
      <c r="C1" t="inlineStr">
        <is>
          <t>Номенклатура</t>
        </is>
      </c>
      <c r="D1" t="inlineStr">
        <is>
          <t>Цена</t>
        </is>
      </c>
    </row>
    <row r="2">
      <c r="A2" t="inlineStr">
        <is>
          <t>ЭТО НЕ ПРАЙС — копия шапки без данных / print leftover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2026-09-11T22:38:06Z</dcterms:created>
  <dcterms:modified xmlns:dcterms="http://purl.org/dc/terms/" xmlns:xsi="http://www.w3.org/2001/XMLSchema-instance" xsi:type="dcterms:W3CDTF">2026-09-11T22:38:06Z</dcterms:modified>
</cp:coreProperties>
</file>