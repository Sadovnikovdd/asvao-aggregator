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с 01.09" sheetId="1" state="visible" r:id="rId1"/>
    <sheet xmlns:r="http://schemas.openxmlformats.org/officeDocument/2006/relationships" name="Реквизиты" sheetId="2" state="visible" r:id="rId2"/>
    <sheet xmlns:r="http://schemas.openxmlformats.org/officeDocument/2006/relationships" name="Лист1" sheetId="3" state="visible" r:id="rId3"/>
  </sheets>
  <definedNames>
    <definedName name="_xlnm._FilterDatabase" localSheetId="0" hidden="1">'Прайс с 01.09'!$A$8:$I$8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b val="1"/>
    </font>
    <font>
      <b val="1"/>
      <i val="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548235"/>
      </patternFill>
    </fill>
    <fill>
      <patternFill patternType="solid">
        <fgColor rgb="00FFC7CE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pivotButton="0" quotePrefix="0" xfId="0"/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2" max="2"/>
    <col width="55" customWidth="1" min="3" max="3"/>
    <col hidden="1" width="13" customWidth="1" min="7" max="7"/>
  </cols>
  <sheetData>
    <row r="1">
      <c r="A1" s="1" t="inlineStr">
        <is>
          <t>ООО «ТехСнаб-Восток»  ИНН 7700123456  /  PRICE LIST  /  конфиденциально</t>
        </is>
      </c>
    </row>
    <row r="2">
      <c r="A2" t="inlineStr">
        <is>
          <t>Запчасти для электроинструмента. Действует с 01.09.2026. Курсы: 1 EUR = 98,50 руб. Не оферта.</t>
        </is>
      </c>
    </row>
    <row r="3">
      <c r="A3" t="inlineStr">
        <is>
          <t>Менеджер:</t>
        </is>
      </c>
      <c r="B3" t="inlineStr">
        <is>
          <t>Иванов П.С.  +7 495 000-00-00</t>
        </is>
      </c>
    </row>
    <row r="4">
      <c r="A4" t="inlineStr">
        <is>
          <t>email:</t>
        </is>
      </c>
      <c r="B4" t="inlineStr">
        <is>
          <t>price@techsnab-vostok.example</t>
        </is>
      </c>
    </row>
    <row r="5">
      <c r="A5" s="2" t="inlineStr">
        <is>
          <t>ВНИМАНИЕ: колонка G скрыта (внутренняя себестоимость). Не удалять.</t>
        </is>
      </c>
    </row>
    <row r="8">
      <c r="A8" s="3" t="inlineStr">
        <is>
          <t>№</t>
        </is>
      </c>
      <c r="B8" s="3" t="inlineStr">
        <is>
          <t>Код поставщика</t>
        </is>
      </c>
      <c r="C8" s="3" t="inlineStr">
        <is>
          <t>Наименование / описание</t>
        </is>
      </c>
      <c r="D8" s="3" t="inlineStr">
        <is>
          <t>Бренд</t>
        </is>
      </c>
      <c r="E8" s="3" t="inlineStr">
        <is>
          <t>Остаток</t>
        </is>
      </c>
      <c r="F8" s="4" t="inlineStr">
        <is>
          <t>Цена</t>
        </is>
      </c>
      <c r="G8" s="3" t="inlineStr">
        <is>
          <t>себест</t>
        </is>
      </c>
      <c r="H8" s="5" t="inlineStr">
        <is>
          <t>РРЦ</t>
        </is>
      </c>
      <c r="I8" s="3" t="inlineStr">
        <is>
          <t>Ед.</t>
        </is>
      </c>
    </row>
    <row r="9">
      <c r="A9" s="3" t="n"/>
      <c r="B9" s="3" t="n"/>
      <c r="C9" s="3" t="n"/>
      <c r="D9" s="3" t="n"/>
      <c r="E9" s="3" t="n"/>
      <c r="F9" s="3" t="inlineStr">
        <is>
          <t>опт, руб.</t>
        </is>
      </c>
      <c r="G9" s="3" t="inlineStr">
        <is>
          <t>cost</t>
        </is>
      </c>
      <c r="H9" s="3" t="inlineStr">
        <is>
          <t>руб.</t>
        </is>
      </c>
      <c r="I9" s="3" t="n"/>
    </row>
    <row r="10">
      <c r="A10" s="6" t="n">
        <v>1</v>
      </c>
      <c r="B10" s="6" t="inlineStr">
        <is>
          <t>TS-01001</t>
        </is>
      </c>
      <c r="C10" s="6" t="inlineStr">
        <is>
          <t>Щетка угольная 6.5x7.5x13 Makita CB-419</t>
        </is>
      </c>
      <c r="D10" s="6" t="inlineStr">
        <is>
          <t>Makita</t>
        </is>
      </c>
      <c r="E10" s="6" t="inlineStr">
        <is>
          <t>много</t>
        </is>
      </c>
      <c r="F10" s="6" t="inlineStr">
        <is>
          <t>1 240,50</t>
        </is>
      </c>
      <c r="G10" s="6" t="n">
        <v>800</v>
      </c>
      <c r="H10" s="6" t="n">
        <v>1860</v>
      </c>
      <c r="I10" s="6" t="inlineStr">
        <is>
          <t>шт</t>
        </is>
      </c>
    </row>
    <row r="11">
      <c r="A11" s="6" t="n">
        <v>2</v>
      </c>
      <c r="B11" s="6" t="inlineStr">
        <is>
          <t>TS-01002</t>
        </is>
      </c>
      <c r="C11" s="6" t="inlineStr">
        <is>
          <t xml:space="preserve">  Якорь в сборе HR2450  (уценка)</t>
        </is>
      </c>
      <c r="D11" s="6" t="inlineStr">
        <is>
          <t>Makita</t>
        </is>
      </c>
      <c r="E11" s="6" t="inlineStr">
        <is>
          <t>+</t>
        </is>
      </c>
      <c r="F11" s="6" t="inlineStr">
        <is>
          <t>890,00</t>
        </is>
      </c>
      <c r="G11" s="6" t="n">
        <v>510</v>
      </c>
      <c r="H11" s="6" t="n">
        <v>1335</v>
      </c>
      <c r="I11" s="6" t="inlineStr">
        <is>
          <t>шт</t>
        </is>
      </c>
    </row>
    <row r="12">
      <c r="A12" s="6" t="n">
        <v>3</v>
      </c>
      <c r="B12" s="6" t="inlineStr">
        <is>
          <t>TS-01003</t>
        </is>
      </c>
      <c r="C12" s="6" t="inlineStr">
        <is>
          <t>Редуктор перфоратора GBH 2-26</t>
        </is>
      </c>
      <c r="D12" s="6" t="inlineStr">
        <is>
          <t>Bosch</t>
        </is>
      </c>
      <c r="E12" s="6" t="inlineStr">
        <is>
          <t>нет</t>
        </is>
      </c>
      <c r="F12" s="6" t="inlineStr">
        <is>
          <t>4 320,00</t>
        </is>
      </c>
      <c r="G12" s="6" t="n">
        <v>2900</v>
      </c>
      <c r="H12" s="6" t="n">
        <v>6480</v>
      </c>
      <c r="I12" s="6" t="inlineStr">
        <is>
          <t>шт</t>
        </is>
      </c>
    </row>
    <row r="13">
      <c r="A13" s="6" t="n">
        <v>4</v>
      </c>
      <c r="B13" s="6" t="inlineStr">
        <is>
          <t>TS-01004</t>
        </is>
      </c>
      <c r="C13" s="6" t="inlineStr">
        <is>
          <t>Патрон ключевой 13 мм 1/2-20UNF</t>
        </is>
      </c>
      <c r="D13" s="6" t="inlineStr">
        <is>
          <t>Dewalt</t>
        </is>
      </c>
      <c r="E13" s="6" t="inlineStr">
        <is>
          <t>&lt;5</t>
        </is>
      </c>
      <c r="F13" s="6" t="inlineStr">
        <is>
          <t>560,5</t>
        </is>
      </c>
      <c r="G13" s="6" t="n">
        <v>300</v>
      </c>
      <c r="H13" s="6" t="n">
        <v>840</v>
      </c>
      <c r="I13" s="6" t="inlineStr">
        <is>
          <t>шт</t>
        </is>
      </c>
    </row>
    <row r="14" hidden="1">
      <c r="A14" s="6" t="n">
        <v>5</v>
      </c>
      <c r="B14" s="6" t="inlineStr">
        <is>
          <t>TS-HIDDEN</t>
        </is>
      </c>
      <c r="C14" s="6" t="inlineStr">
        <is>
          <t>Ротор скрытый (hidden row) — позиция существует</t>
        </is>
      </c>
      <c r="D14" s="6" t="inlineStr">
        <is>
          <t>Makita</t>
        </is>
      </c>
      <c r="E14" s="6" t="inlineStr">
        <is>
          <t>1</t>
        </is>
      </c>
      <c r="F14" s="6" t="inlineStr">
        <is>
          <t>999,00</t>
        </is>
      </c>
      <c r="G14" s="6" t="n">
        <v>400</v>
      </c>
      <c r="H14" s="6" t="n">
        <v>1498</v>
      </c>
      <c r="I14" s="6" t="inlineStr">
        <is>
          <t>шт</t>
        </is>
      </c>
    </row>
    <row r="15">
      <c r="A15" s="6" t="n">
        <v>6</v>
      </c>
      <c r="B15" s="6" t="inlineStr">
        <is>
          <t>TS-01001</t>
        </is>
      </c>
      <c r="C15" s="6" t="inlineStr">
        <is>
          <t>Щетка угольная 6.5x7.5x13 Makita CB-419 / ДУБЛЬ</t>
        </is>
      </c>
      <c r="D15" s="6" t="inlineStr">
        <is>
          <t>Makita</t>
        </is>
      </c>
      <c r="E15" s="6" t="inlineStr">
        <is>
          <t>3</t>
        </is>
      </c>
      <c r="F15" s="6" t="inlineStr">
        <is>
          <t>1 240,50</t>
        </is>
      </c>
      <c r="G15" s="6" t="n">
        <v>800</v>
      </c>
      <c r="H15" s="6" t="n">
        <v>1860</v>
      </c>
      <c r="I15" s="6" t="inlineStr">
        <is>
          <t>шт</t>
        </is>
      </c>
    </row>
    <row r="16">
      <c r="A16" s="6" t="n">
        <v>7</v>
      </c>
      <c r="B16" s="6" t="inlineStr">
        <is>
          <t>0004451</t>
        </is>
      </c>
      <c r="C16" s="6" t="inlineStr">
        <is>
          <t>Выключатель FA2-6/2BW</t>
        </is>
      </c>
      <c r="D16" s="6" t="inlineStr">
        <is>
          <t>Китай</t>
        </is>
      </c>
      <c r="E16" s="6" t="inlineStr">
        <is>
          <t>12</t>
        </is>
      </c>
      <c r="F16" s="6" t="inlineStr">
        <is>
          <t>150 руб.</t>
        </is>
      </c>
      <c r="G16" s="6" t="n">
        <v>40</v>
      </c>
      <c r="H16" s="6" t="n">
        <v>225</v>
      </c>
      <c r="I16" s="6" t="inlineStr">
        <is>
          <t>шт</t>
        </is>
      </c>
    </row>
    <row r="17">
      <c r="A17" s="6" t="n">
        <v>8</v>
      </c>
      <c r="B17" s="6" t="inlineStr">
        <is>
          <t>TS-01007</t>
        </is>
      </c>
      <c r="C17" s="6" t="inlineStr">
        <is>
          <t>Статор 220В для УШМ 125</t>
        </is>
      </c>
      <c r="D17" s="6" t="n"/>
      <c r="E17" s="6" t="inlineStr">
        <is>
          <t>0</t>
        </is>
      </c>
      <c r="F17" s="7" t="inlineStr"/>
      <c r="G17" s="6" t="n">
        <v>0</v>
      </c>
      <c r="H17" s="6" t="n"/>
      <c r="I17" s="6" t="inlineStr">
        <is>
          <t>шт</t>
        </is>
      </c>
    </row>
    <row r="18">
      <c r="A18" s="6" t="n">
        <v>9</v>
      </c>
      <c r="B18" s="6" t="inlineStr">
        <is>
          <t>TS-01008</t>
        </is>
      </c>
      <c r="C18" s="6" t="inlineStr">
        <is>
          <t>Подшипник 607 ZZ</t>
        </is>
      </c>
      <c r="D18" s="6" t="inlineStr">
        <is>
          <t>NSK</t>
        </is>
      </c>
      <c r="E18" s="6" t="inlineStr">
        <is>
          <t>21</t>
        </is>
      </c>
      <c r="F18" s="7" t="inlineStr">
        <is>
          <t>-15</t>
        </is>
      </c>
      <c r="G18" s="6" t="n">
        <v>10</v>
      </c>
      <c r="H18" s="6" t="n">
        <v>45</v>
      </c>
      <c r="I18" s="6" t="inlineStr">
        <is>
          <t>шт</t>
        </is>
      </c>
    </row>
    <row r="19">
      <c r="A19" s="6" t="n">
        <v>10</v>
      </c>
      <c r="B19" s="6" t="n"/>
      <c r="C19" s="6" t="inlineStr">
        <is>
          <t>Комплект щёток (артикул потерян)</t>
        </is>
      </c>
      <c r="D19" s="6" t="inlineStr">
        <is>
          <t>Bosch</t>
        </is>
      </c>
      <c r="E19" s="6" t="inlineStr">
        <is>
          <t>2</t>
        </is>
      </c>
      <c r="F19" s="7" t="inlineStr">
        <is>
          <t>330,00</t>
        </is>
      </c>
      <c r="G19" s="6" t="n">
        <v>180</v>
      </c>
      <c r="H19" s="6" t="n">
        <v>495</v>
      </c>
      <c r="I19" s="6" t="inlineStr">
        <is>
          <t>компл</t>
        </is>
      </c>
    </row>
    <row r="20">
      <c r="A20" s="6" t="n">
        <v>11</v>
      </c>
      <c r="B20" s="6" t="inlineStr">
        <is>
          <t>TS-01010</t>
        </is>
      </c>
      <c r="C20" s="6" t="inlineStr">
        <is>
          <t>Р</t>
        </is>
      </c>
      <c r="D20" s="6" t="inlineStr">
        <is>
          <t>Makita</t>
        </is>
      </c>
      <c r="E20" s="6" t="inlineStr">
        <is>
          <t>1</t>
        </is>
      </c>
      <c r="F20" s="6" t="inlineStr">
        <is>
          <t>100,00</t>
        </is>
      </c>
      <c r="G20" s="6" t="n">
        <v>50</v>
      </c>
      <c r="H20" s="6" t="n">
        <v>150</v>
      </c>
      <c r="I20" s="6" t="inlineStr">
        <is>
          <t>шт</t>
        </is>
      </c>
    </row>
    <row r="22">
      <c r="A22" s="8" t="inlineStr">
        <is>
          <t>№</t>
        </is>
      </c>
      <c r="B22" s="8" t="inlineStr">
        <is>
          <t>Код поставщика</t>
        </is>
      </c>
      <c r="C22" s="8" t="inlineStr">
        <is>
          <t>Наименование / описание</t>
        </is>
      </c>
      <c r="D22" s="8" t="inlineStr">
        <is>
          <t>Бренд</t>
        </is>
      </c>
      <c r="E22" s="8" t="inlineStr">
        <is>
          <t>Остаток</t>
        </is>
      </c>
      <c r="F22" s="8" t="inlineStr">
        <is>
          <t>Цена опт, руб.</t>
        </is>
      </c>
      <c r="G22" s="8" t="inlineStr">
        <is>
          <t>себест</t>
        </is>
      </c>
      <c r="H22" s="8" t="inlineStr">
        <is>
          <t>РРЦ</t>
        </is>
      </c>
      <c r="I22" s="8" t="inlineStr">
        <is>
          <t>Ед.</t>
        </is>
      </c>
    </row>
    <row r="23">
      <c r="A23" t="n">
        <v>12</v>
      </c>
      <c r="B23" t="inlineStr">
        <is>
          <t>TS-01011</t>
        </is>
      </c>
      <c r="C23" t="inlineStr">
        <is>
          <t>Щеткодержатель CB-204</t>
        </is>
      </c>
      <c r="D23" t="inlineStr">
        <is>
          <t>Makita</t>
        </is>
      </c>
      <c r="E23" t="inlineStr">
        <is>
          <t>8</t>
        </is>
      </c>
      <c r="F23" t="inlineStr">
        <is>
          <t>210,00</t>
        </is>
      </c>
      <c r="G23" t="n">
        <v>90</v>
      </c>
      <c r="H23" t="n">
        <v>315</v>
      </c>
      <c r="I23" t="inlineStr">
        <is>
          <t>шт</t>
        </is>
      </c>
    </row>
    <row r="24">
      <c r="A24" t="n">
        <v>13</v>
      </c>
      <c r="B24" t="inlineStr">
        <is>
          <t>TS-01012</t>
        </is>
      </c>
      <c r="C24" t="inlineStr">
        <is>
          <t>Кабель питания 2м 2x1.0 с вилкой</t>
        </is>
      </c>
      <c r="D24" t="inlineStr">
        <is>
          <t>NoName</t>
        </is>
      </c>
      <c r="E24" t="inlineStr">
        <is>
          <t>много</t>
        </is>
      </c>
      <c r="F24" t="inlineStr">
        <is>
          <t>1 050,00</t>
        </is>
      </c>
      <c r="G24" t="n">
        <v>400</v>
      </c>
      <c r="H24" t="n">
        <v>1575</v>
      </c>
      <c r="I24" t="inlineStr">
        <is>
          <t>шт</t>
        </is>
      </c>
    </row>
    <row r="25">
      <c r="A25" t="n">
        <v>14</v>
      </c>
      <c r="B25" t="inlineStr">
        <is>
          <t>TS-01013</t>
        </is>
      </c>
      <c r="C25" t="inlineStr">
        <is>
          <t>Крышка редуктора левая GBH 2-24</t>
        </is>
      </c>
      <c r="D25" t="inlineStr">
        <is>
          <t>Bosch</t>
        </is>
      </c>
      <c r="E25" t="inlineStr">
        <is>
          <t>1</t>
        </is>
      </c>
      <c r="F25" t="inlineStr">
        <is>
          <t>2 100,00</t>
        </is>
      </c>
      <c r="G25" t="n">
        <v>1100</v>
      </c>
      <c r="H25" t="n">
        <v>3150</v>
      </c>
      <c r="I25" t="inlineStr">
        <is>
          <t>шт</t>
        </is>
      </c>
    </row>
    <row r="26">
      <c r="C26" s="9" t="inlineStr">
        <is>
          <t>ИТОГО (не позиция)</t>
        </is>
      </c>
      <c r="F26">
        <f>SUM(F10:F25)</f>
        <v/>
      </c>
      <c r="H26">
        <f>SUM(H10:H25)</f>
        <v/>
      </c>
    </row>
    <row r="28">
      <c r="A28" t="inlineStr">
        <is>
          <t>Цены с НДС 20%. Отрицательная цена — корректировка. Пустая цена = под заказ.</t>
        </is>
      </c>
    </row>
  </sheetData>
  <autoFilter ref="A8:I8"/>
  <mergeCells count="10">
    <mergeCell ref="A8:A9"/>
    <mergeCell ref="A2:I2"/>
    <mergeCell ref="E8:E9"/>
    <mergeCell ref="C8:C9"/>
    <mergeCell ref="I8:I9"/>
    <mergeCell ref="A5:I5"/>
    <mergeCell ref="A28:I28"/>
    <mergeCell ref="A1:I1"/>
    <mergeCell ref="D8:D9"/>
    <mergeCell ref="B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ООО ТехСнаб-Восток</t>
        </is>
      </c>
    </row>
    <row r="2">
      <c r="A2" t="inlineStr">
        <is>
          <t>Не прайс. Не парсить.</t>
        </is>
      </c>
    </row>
    <row r="3">
      <c r="A3" t="inlineStr">
        <is>
          <t>р/с 40702810100000000000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2026-09-11T22:38:06Z</dcterms:created>
  <dcterms:modified xmlns:dcterms="http://purl.org/dc/terms/" xmlns:xsi="http://www.w3.org/2001/XMLSchema-instance" xsi:type="dcterms:W3CDTF">2026-09-11T22:38:06Z</dcterms:modified>
</cp:coreProperties>
</file>